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eda\designs\picorv32_uq\src\mcu\"/>
    </mc:Choice>
  </mc:AlternateContent>
  <xr:revisionPtr revIDLastSave="0" documentId="13_ncr:1_{E89E3147-E0B5-49F7-928A-7FD41F863844}" xr6:coauthVersionLast="47" xr6:coauthVersionMax="47" xr10:uidLastSave="{00000000-0000-0000-0000-000000000000}"/>
  <bookViews>
    <workbookView xWindow="-108" yWindow="-108" windowWidth="23256" windowHeight="12456" xr2:uid="{A9D4CB3A-6D78-4DF7-AF84-F5F4E0CF2E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3" i="1"/>
  <c r="D23" i="1"/>
  <c r="B22" i="1"/>
  <c r="C22" i="1"/>
  <c r="D22" i="1"/>
  <c r="D12" i="1"/>
  <c r="D13" i="1"/>
  <c r="D14" i="1"/>
  <c r="D15" i="1"/>
  <c r="D16" i="1"/>
  <c r="D17" i="1"/>
  <c r="D18" i="1"/>
  <c r="D19" i="1"/>
  <c r="D20" i="1"/>
  <c r="D21" i="1"/>
  <c r="D11" i="1"/>
  <c r="B21" i="1"/>
  <c r="C21" i="1"/>
  <c r="B20" i="1"/>
  <c r="C20" i="1"/>
  <c r="B19" i="1"/>
  <c r="C19" i="1"/>
  <c r="B12" i="1"/>
  <c r="B13" i="1"/>
  <c r="B14" i="1"/>
  <c r="B15" i="1"/>
  <c r="B16" i="1"/>
  <c r="B17" i="1"/>
  <c r="B18" i="1"/>
  <c r="B11" i="1"/>
  <c r="C12" i="1"/>
  <c r="C13" i="1"/>
  <c r="C14" i="1"/>
  <c r="C15" i="1"/>
  <c r="C16" i="1"/>
  <c r="C17" i="1"/>
  <c r="C18" i="1"/>
  <c r="C11" i="1"/>
  <c r="C2" i="1"/>
  <c r="C4" i="1"/>
  <c r="C5" i="1"/>
  <c r="C6" i="1"/>
  <c r="C7" i="1"/>
  <c r="C3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<sst xmlns="http://schemas.openxmlformats.org/spreadsheetml/2006/main" count="6" uniqueCount="4">
  <si>
    <t>N</t>
  </si>
  <si>
    <t>Periodo (ns)</t>
  </si>
  <si>
    <t>N_load</t>
  </si>
  <si>
    <t>Frecuencia TX (baudios)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</si>
</sst>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34CC-149B-440A-BCEF-1F403292448C}">
  <dimension ref="A1:D23"/>
  <sheetViews>
    <sheetView tabSelected="1" workbookViewId="0">
      <selection activeCell="D23" sqref="D23"/>
    </sheetView>
  </sheetViews>
  <sheetFormatPr baseColWidth="10" defaultRowHeight="14.4" x14ac:dyDescent="0.3"/>
  <cols>
    <col min="1" max="1" width="21.88671875" customWidth="1"/>
    <col min="2" max="2" width="17.44140625" customWidth="1"/>
    <col min="3" max="3" width="33.8867187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>
        <v>1</v>
      </c>
      <c r="B2">
        <f>10*(A2+1)*2</f>
        <v>40</v>
      </c>
      <c r="C2">
        <f>(B2/10)/2 -1</f>
        <v>1</v>
      </c>
    </row>
    <row r="3" spans="1:4" x14ac:dyDescent="0.3">
      <c r="A3">
        <v>2</v>
      </c>
      <c r="B3">
        <f t="shared" ref="B3:B7" si="0">10*(A3+1)*2</f>
        <v>60</v>
      </c>
      <c r="C3">
        <f>(B3/10)/2 -1</f>
        <v>2</v>
      </c>
    </row>
    <row r="4" spans="1:4" x14ac:dyDescent="0.3">
      <c r="A4">
        <v>3</v>
      </c>
      <c r="B4">
        <f t="shared" si="0"/>
        <v>80</v>
      </c>
      <c r="C4">
        <f t="shared" ref="C4:C7" si="1">(B4/10)/2 -1</f>
        <v>3</v>
      </c>
    </row>
    <row r="5" spans="1:4" x14ac:dyDescent="0.3">
      <c r="A5">
        <v>4</v>
      </c>
      <c r="B5">
        <f t="shared" si="0"/>
        <v>100</v>
      </c>
      <c r="C5">
        <f t="shared" si="1"/>
        <v>4</v>
      </c>
    </row>
    <row r="6" spans="1:4" x14ac:dyDescent="0.3">
      <c r="A6">
        <v>5</v>
      </c>
      <c r="B6">
        <f t="shared" si="0"/>
        <v>120</v>
      </c>
      <c r="C6">
        <f t="shared" si="1"/>
        <v>5</v>
      </c>
    </row>
    <row r="7" spans="1:4" x14ac:dyDescent="0.3">
      <c r="A7">
        <v>6</v>
      </c>
      <c r="B7">
        <f t="shared" si="0"/>
        <v>140</v>
      </c>
      <c r="C7">
        <f t="shared" si="1"/>
        <v>6</v>
      </c>
    </row>
    <row r="10" spans="1:4" x14ac:dyDescent="0.3">
      <c r="A10" t="s">
        <v>3</v>
      </c>
      <c r="B10" t="s">
        <v>1</v>
      </c>
      <c r="C10" t="s">
        <v>2</v>
      </c>
    </row>
    <row r="11" spans="1:4" x14ac:dyDescent="0.3">
      <c r="A11">
        <v>300</v>
      </c>
      <c r="B11">
        <f>(1/A11)*1000000000</f>
        <v>3333333.3333333335</v>
      </c>
      <c r="C11">
        <f>(B11/10)/2 -1</f>
        <v>166665.66666666669</v>
      </c>
      <c r="D11">
        <f>((1/A11)*50000000) -1</f>
        <v>166665.66666666669</v>
      </c>
    </row>
    <row r="12" spans="1:4" x14ac:dyDescent="0.3">
      <c r="A12">
        <v>600</v>
      </c>
      <c r="B12">
        <f t="shared" ref="B12:B23" si="2">(1/A12)*1000000000</f>
        <v>1666666.6666666667</v>
      </c>
      <c r="C12">
        <f t="shared" ref="C12:C23" si="3">(B12/10)/2 -1</f>
        <v>83332.333333333343</v>
      </c>
      <c r="D12">
        <f t="shared" ref="D12:D21" si="4">((1/A12)*50000000) -1</f>
        <v>83332.333333333343</v>
      </c>
    </row>
    <row r="13" spans="1:4" x14ac:dyDescent="0.3">
      <c r="A13">
        <v>1200</v>
      </c>
      <c r="B13">
        <f t="shared" si="2"/>
        <v>833333.33333333337</v>
      </c>
      <c r="C13">
        <f t="shared" si="3"/>
        <v>41665.666666666672</v>
      </c>
      <c r="D13">
        <f t="shared" si="4"/>
        <v>41665.666666666672</v>
      </c>
    </row>
    <row r="14" spans="1:4" x14ac:dyDescent="0.3">
      <c r="A14">
        <v>1800</v>
      </c>
      <c r="B14">
        <f t="shared" si="2"/>
        <v>555555.5555555555</v>
      </c>
      <c r="C14">
        <f t="shared" si="3"/>
        <v>27776.777777777774</v>
      </c>
      <c r="D14">
        <f t="shared" si="4"/>
        <v>27776.777777777777</v>
      </c>
    </row>
    <row r="15" spans="1:4" x14ac:dyDescent="0.3">
      <c r="A15">
        <v>2400</v>
      </c>
      <c r="B15">
        <f t="shared" si="2"/>
        <v>416666.66666666669</v>
      </c>
      <c r="C15">
        <f t="shared" si="3"/>
        <v>20832.333333333336</v>
      </c>
      <c r="D15">
        <f t="shared" si="4"/>
        <v>20832.333333333336</v>
      </c>
    </row>
    <row r="16" spans="1:4" x14ac:dyDescent="0.3">
      <c r="A16">
        <v>4800</v>
      </c>
      <c r="B16">
        <f t="shared" si="2"/>
        <v>208333.33333333334</v>
      </c>
      <c r="C16">
        <f t="shared" si="3"/>
        <v>10415.666666666668</v>
      </c>
      <c r="D16">
        <f t="shared" si="4"/>
        <v>10415.666666666668</v>
      </c>
    </row>
    <row r="17" spans="1:4" x14ac:dyDescent="0.3">
      <c r="A17">
        <v>9600</v>
      </c>
      <c r="B17">
        <f t="shared" si="2"/>
        <v>104166.66666666667</v>
      </c>
      <c r="C17">
        <f t="shared" si="3"/>
        <v>5207.3333333333339</v>
      </c>
      <c r="D17">
        <f t="shared" si="4"/>
        <v>5207.3333333333339</v>
      </c>
    </row>
    <row r="18" spans="1:4" x14ac:dyDescent="0.3">
      <c r="A18">
        <v>19200</v>
      </c>
      <c r="B18">
        <f t="shared" si="2"/>
        <v>52083.333333333336</v>
      </c>
      <c r="C18">
        <f t="shared" si="3"/>
        <v>2603.166666666667</v>
      </c>
      <c r="D18">
        <f t="shared" si="4"/>
        <v>2603.166666666667</v>
      </c>
    </row>
    <row r="19" spans="1:4" x14ac:dyDescent="0.3">
      <c r="A19">
        <v>38400</v>
      </c>
      <c r="B19">
        <f t="shared" si="2"/>
        <v>26041.666666666668</v>
      </c>
      <c r="C19">
        <f t="shared" si="3"/>
        <v>1301.0833333333335</v>
      </c>
      <c r="D19">
        <f t="shared" si="4"/>
        <v>1301.0833333333335</v>
      </c>
    </row>
    <row r="20" spans="1:4" x14ac:dyDescent="0.3">
      <c r="A20">
        <v>57600</v>
      </c>
      <c r="B20">
        <f t="shared" si="2"/>
        <v>17361.111111111109</v>
      </c>
      <c r="C20">
        <f t="shared" si="3"/>
        <v>867.05555555555543</v>
      </c>
      <c r="D20">
        <f t="shared" si="4"/>
        <v>867.05555555555554</v>
      </c>
    </row>
    <row r="21" spans="1:4" x14ac:dyDescent="0.3">
      <c r="A21">
        <v>115200</v>
      </c>
      <c r="B21">
        <f t="shared" si="2"/>
        <v>8680.5555555555547</v>
      </c>
      <c r="C21">
        <f t="shared" si="3"/>
        <v>433.02777777777771</v>
      </c>
      <c r="D21">
        <f t="shared" si="4"/>
        <v>433.02777777777777</v>
      </c>
    </row>
    <row r="22" spans="1:4" x14ac:dyDescent="0.3">
      <c r="A22">
        <v>8333333</v>
      </c>
      <c r="B22">
        <f t="shared" si="2"/>
        <v>120.0000048000002</v>
      </c>
      <c r="C22">
        <f t="shared" si="3"/>
        <v>5.0000002400000101</v>
      </c>
      <c r="D22">
        <f t="shared" ref="D22:D23" si="5">((1/A22)*50000000) -1</f>
        <v>5.0000002400000101</v>
      </c>
    </row>
    <row r="23" spans="1:4" x14ac:dyDescent="0.3">
      <c r="A23">
        <v>10000000</v>
      </c>
      <c r="B23">
        <f t="shared" si="2"/>
        <v>100</v>
      </c>
      <c r="C23">
        <f t="shared" si="3"/>
        <v>4</v>
      </c>
      <c r="D23">
        <f t="shared" si="5"/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Iván Marín Hurtado</dc:creator>
  <cp:lastModifiedBy>Jorge Iván Marín Hurtado</cp:lastModifiedBy>
  <dcterms:created xsi:type="dcterms:W3CDTF">2026-01-27T04:55:45Z</dcterms:created>
  <dcterms:modified xsi:type="dcterms:W3CDTF">2026-01-28T01:27:16Z</dcterms:modified>
</cp:coreProperties>
</file>